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_ARTES\_Mikael\_TEMPORÁRIOS\_P\_MKR\WorkoutPlan\"/>
    </mc:Choice>
  </mc:AlternateContent>
  <xr:revisionPtr revIDLastSave="0" documentId="13_ncr:11_{7462202C-4DB2-45D8-9C71-EFC4D233AB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" sheetId="1" r:id="rId1"/>
    <sheet name="Dados" sheetId="2" r:id="rId2"/>
  </sheets>
  <definedNames>
    <definedName name="_xlnm._FilterDatabase" localSheetId="1" hidden="1">Dados!$E$1:$I$1</definedName>
    <definedName name="_xlnm._FilterDatabase" localSheetId="0" hidden="1">Planilha!$A$1:$K$1</definedName>
    <definedName name="ListaMetodos">Tabela3[Métodos]</definedName>
    <definedName name="ListaObjetivos">Tabela4[Objetivos]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 a="1"/>
  <c r="F10" i="1" s="1"/>
  <c r="H10" i="1" s="1" a="1"/>
  <c r="H10" i="1" s="1"/>
  <c r="G10" i="1" a="1"/>
  <c r="G10" i="1" s="1"/>
  <c r="F8" i="1" a="1"/>
  <c r="F8" i="1" s="1"/>
  <c r="K2" i="2" l="1"/>
  <c r="K3" i="2"/>
  <c r="K4" i="2"/>
  <c r="K5" i="2"/>
  <c r="G7" i="1" s="1" a="1"/>
  <c r="G7" i="1" s="1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F3" i="1" a="1"/>
  <c r="F3" i="1" s="1"/>
  <c r="G3" i="1" a="1"/>
  <c r="G3" i="1" s="1"/>
  <c r="G5" i="1" a="1"/>
  <c r="G5" i="1" s="1"/>
  <c r="G6" i="1" a="1"/>
  <c r="G6" i="1" s="1"/>
  <c r="G8" i="1" a="1"/>
  <c r="G8" i="1" s="1"/>
  <c r="G2" i="1" a="1"/>
  <c r="G2" i="1" s="1"/>
  <c r="G4" i="1" a="1"/>
  <c r="G4" i="1" s="1"/>
  <c r="G9" i="1" a="1"/>
  <c r="G9" i="1" s="1"/>
  <c r="E2" i="2"/>
  <c r="F5" i="1" s="1" a="1"/>
  <c r="F5" i="1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H3" i="1" l="1" a="1"/>
  <c r="H3" i="1" s="1"/>
  <c r="F4" i="1" a="1"/>
  <c r="F4" i="1" s="1"/>
  <c r="H4" i="1" s="1" a="1"/>
  <c r="H4" i="1" s="1"/>
  <c r="H8" i="1" a="1"/>
  <c r="H8" i="1" s="1"/>
  <c r="F6" i="1" a="1"/>
  <c r="F6" i="1" s="1"/>
  <c r="H6" i="1" s="1" a="1"/>
  <c r="H6" i="1" s="1"/>
  <c r="F9" i="1" a="1"/>
  <c r="F9" i="1" s="1"/>
  <c r="H9" i="1" s="1" a="1"/>
  <c r="H9" i="1" s="1"/>
  <c r="F2" i="1" a="1"/>
  <c r="F2" i="1" s="1"/>
  <c r="H2" i="1" s="1" a="1"/>
  <c r="H2" i="1" s="1"/>
  <c r="F7" i="1" a="1"/>
  <c r="F7" i="1" s="1"/>
  <c r="H7" i="1" s="1" a="1"/>
  <c r="H7" i="1" s="1"/>
  <c r="H5" i="1" a="1"/>
  <c r="H5" i="1" s="1"/>
  <c r="H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<sst xmlns="http://schemas.openxmlformats.org/spreadsheetml/2006/main" count="199" uniqueCount="74">
  <si>
    <t>Exercício</t>
  </si>
  <si>
    <t>Séries</t>
  </si>
  <si>
    <t>Repetições</t>
  </si>
  <si>
    <t>Objetivo</t>
  </si>
  <si>
    <t>Descanso</t>
  </si>
  <si>
    <t>Cadência (TUT)</t>
  </si>
  <si>
    <t>Peso (kg)</t>
  </si>
  <si>
    <t>RPE (Taxa de Esforço Percebido)</t>
  </si>
  <si>
    <t>Obs.</t>
  </si>
  <si>
    <t>Tempo Total do Exercício</t>
  </si>
  <si>
    <t>Método</t>
  </si>
  <si>
    <t>Métodos</t>
  </si>
  <si>
    <t>Drop-set</t>
  </si>
  <si>
    <t>Rest-Pause</t>
  </si>
  <si>
    <t>Cluster Sets</t>
  </si>
  <si>
    <t>Falha Concêntrica</t>
  </si>
  <si>
    <t>Bi-set</t>
  </si>
  <si>
    <t>Tri-set</t>
  </si>
  <si>
    <t>Giant Set</t>
  </si>
  <si>
    <t>Supersérie (Antagonista)</t>
  </si>
  <si>
    <t>Supersérie (Agonista)</t>
  </si>
  <si>
    <t>Tempo sob Tensão (TUT/Cadência)</t>
  </si>
  <si>
    <t>Isometria</t>
  </si>
  <si>
    <t>Repetições Parciais</t>
  </si>
  <si>
    <t>Pirâmide Crescente</t>
  </si>
  <si>
    <t>Pirâmide Decrescente</t>
  </si>
  <si>
    <t>Treino em Circuito</t>
  </si>
  <si>
    <t>Pré-Exaustão</t>
  </si>
  <si>
    <t>Pós-Exaustão</t>
  </si>
  <si>
    <t>Séries Negativas</t>
  </si>
  <si>
    <t>Repetições Forçadas</t>
  </si>
  <si>
    <t>Repetições Roubadas</t>
  </si>
  <si>
    <t>Myo-reps</t>
  </si>
  <si>
    <t>Slow Training</t>
  </si>
  <si>
    <t>Escada (Ladder)</t>
  </si>
  <si>
    <t>Objetivos</t>
  </si>
  <si>
    <t>Hipertrofia</t>
  </si>
  <si>
    <t>Força Máxima</t>
  </si>
  <si>
    <t>Resistência Muscular</t>
  </si>
  <si>
    <t>Manutenção/Reabilitação</t>
  </si>
  <si>
    <t>Métodos/Objetivos</t>
  </si>
  <si>
    <t>Default</t>
  </si>
  <si>
    <t>3-0-2-0</t>
  </si>
  <si>
    <t>2-0-1-0</t>
  </si>
  <si>
    <t>1-0-1-0</t>
  </si>
  <si>
    <t>4-0-2-0</t>
  </si>
  <si>
    <t>3-0-1-0</t>
  </si>
  <si>
    <t>2-0-2-0</t>
  </si>
  <si>
    <t>5-0-3-0</t>
  </si>
  <si>
    <t>3-2-2-0</t>
  </si>
  <si>
    <t>2-3-1-0</t>
  </si>
  <si>
    <t>1-2-1-0</t>
  </si>
  <si>
    <t>4-3-2-0</t>
  </si>
  <si>
    <t>4-0-0-0</t>
  </si>
  <si>
    <t>5-0-0-0</t>
  </si>
  <si>
    <t>3-0-0-0</t>
  </si>
  <si>
    <t>5-0-5-0</t>
  </si>
  <si>
    <t>4-0-4-0</t>
  </si>
  <si>
    <t>3-0-3-0</t>
  </si>
  <si>
    <t>6-0-6-0</t>
  </si>
  <si>
    <t>EMOM (Every Minute on the Minute)</t>
  </si>
  <si>
    <t>AMRAP (As Many Reps (ou Rounds) As Possible)</t>
  </si>
  <si>
    <t>-</t>
  </si>
  <si>
    <t>3</t>
  </si>
  <si>
    <t>Leg Press 45º (5RP)</t>
  </si>
  <si>
    <t>Supino Reto (5RP)</t>
  </si>
  <si>
    <t>Puxada Fronta (5RP)</t>
  </si>
  <si>
    <t>Remada Baixa (5RP)</t>
  </si>
  <si>
    <t>Mesa Flexora (5RP)</t>
  </si>
  <si>
    <t>Flexões de Braço</t>
  </si>
  <si>
    <t>Prancha</t>
  </si>
  <si>
    <t xml:space="preserve"> Teste Esteira (5km)</t>
  </si>
  <si>
    <t>Teste Esteira (20min)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</si>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</sst>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s&quot;"/>
    <numFmt numFmtId="165" formatCode="0\ &quot;min&quot;"/>
    <numFmt numFmtId="166" formatCode="[h]&quot;h&quot;mm&quot;min&quot;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1" tint="0.44999542222357858"/>
        <bgColor theme="1" tint="0.44999542222357858"/>
      </patternFill>
    </fill>
  </fills>
  <borders count="2">
    <border>
      <left/>
      <right/>
      <top/>
      <bottom/>
      <diagonal/>
    </border>
    <border>
      <left/>
      <right/>
      <top style="medium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1" fillId="2" borderId="0" xfId="0" applyFont="1" applyFill="1" applyBorder="1"/>
    <xf numFmtId="0" fontId="2" fillId="3" borderId="1" xfId="0" applyFont="1" applyFill="1" applyBorder="1"/>
    <xf numFmtId="164" fontId="0" fillId="0" borderId="0" xfId="0" applyNumberForma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6">
    <dxf>
      <numFmt numFmtId="166" formatCode="[h]&quot;h&quot;mm&quot;min&quot;"/>
    </dxf>
    <dxf>
      <numFmt numFmtId="164" formatCode="0&quot;s&quot;"/>
    </dxf>
    <dxf>
      <numFmt numFmtId="0" formatCode="General"/>
    </dxf>
    <dxf>
      <numFmt numFmtId="30" formatCode="@"/>
    </dxf>
    <dxf>
      <numFmt numFmtId="0" formatCode="General"/>
    </dxf>
    <dxf>
      <numFmt numFmtId="164" formatCode="0&quot;s&quot;"/>
      <alignment horizontal="right" vertical="bottom" textRotation="0" wrapText="0" indent="0" justifyLastLine="0" shrinkToFit="0" readingOrder="0"/>
    </dxf>
    <dxf>
      <numFmt numFmtId="164" formatCode="0&quot;s&quot;"/>
      <alignment horizontal="right" vertical="bottom" textRotation="0" wrapText="0" indent="0" justifyLastLine="0" shrinkToFit="0" readingOrder="0"/>
    </dxf>
    <dxf>
      <numFmt numFmtId="164" formatCode="0&quot;s&quot;"/>
      <alignment horizontal="right" vertical="bottom" textRotation="0" wrapText="0" indent="0" justifyLastLine="0" shrinkToFit="0" readingOrder="0"/>
    </dxf>
    <dxf>
      <numFmt numFmtId="164" formatCode="0&quot;s&quot;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 tint="0.44999542222357858"/>
          <bgColor theme="1" tint="0.4499954222235785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 tint="0.44999542222357858"/>
          <bgColor theme="1" tint="0.4499954222235785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 tint="0.44999542222357858"/>
          <bgColor theme="1" tint="0.4499954222235785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 tint="0.44999542222357858"/>
          <bgColor theme="1" tint="0.4499954222235785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theme="1" tint="0.44999542222357858"/>
          <bgColor theme="1" tint="0.4499954222235785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 tint="0.44999542222357858"/>
          <bgColor theme="1" tint="0.4499954222235785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5E329-1C7A-4909-AE62-6DA79EEAC989}" name="Tabela1" displayName="Tabela1" ref="A1:K11" totalsRowCount="1">
  <autoFilter ref="A1:K10" xr:uid="{CCE5E329-1C7A-4909-AE62-6DA79EEAC989}"/>
  <tableColumns count="11">
    <tableColumn id="1" xr3:uid="{2B75D1C7-4FBD-44EF-8D4F-38CA297A6E5A}" name="Exercício"/>
    <tableColumn id="2" xr3:uid="{A451B7CA-E273-431C-92A1-EB5CBBAAB317}" name="Método"/>
    <tableColumn id="3" xr3:uid="{A98EA25C-9149-40FA-8B9A-2045C7A3A6EC}" name="Séries" dataDxfId="3"/>
    <tableColumn id="4" xr3:uid="{BA4AD275-29DB-444E-8F70-A82E64EE8FA8}" name="Repetições"/>
    <tableColumn id="5" xr3:uid="{84D88480-01B6-404E-BD00-7AA69D243C48}" name="Objetivo"/>
    <tableColumn id="6" xr3:uid="{A324CD21-2CEF-4576-8F0F-CB364570E9AA}" name="Cadência (TUT)" dataDxfId="2">
      <calculatedColumnFormula array="1">_xlfn.XLOOKUP(Tabela1[[#This Row],[Método]], Tabela7[Métodos/Objetivos], OFFSET(Tabela7[Métodos/Objetivos], 0, MATCH(Tabela1[[#This Row],[Objetivo]], Tabela7[#Headers], 0)-1))</calculatedColumnFormula>
    </tableColumn>
    <tableColumn id="7" xr3:uid="{84416A90-29A6-4D89-BCB3-DC3548F7118D}" name="Descanso" dataDxfId="1">
      <calculatedColumnFormula array="1">_xlfn.XLOOKUP(Tabela1[[#This Row],[Método]], Tabela8[Métodos/Objetivos], OFFSET(Tabela8[Métodos/Objetivos], 0, MATCH(Tabela1[[#This Row],[Objetivo]], Tabela8[#Headers], 0)-1))</calculatedColumnFormula>
    </tableColumn>
    <tableColumn id="8" xr3:uid="{B83232A5-F125-47B3-9149-56BB9AFFAB52}" name="Tempo Total do Exercício" totalsRowFunction="custom" totalsRowDxfId="0">
      <calculatedColumnFormula array="1">_xlfn.LET(
    _xlpm.cadencia, Tabela1[[#This Row],[Cadência (TUT)]],
    _xlpm.soma_cadencia, SUM(VALUE(_xlfn.TEXTSPLIT(_xlpm.cadencia, "-"))),
    _xlpm.reps, Tabela1[[#This Row],[Repetições]],
    _xlpm.soma_reps, SUM(VALUE(_xlfn.TEXTSPLIT(_xlpm.reps, "-"))),
    _xlpm.series, Tabela1[[#This Row],[Séries]],
    _xlpm.soma_series, SUM(VALUE(_xlfn.TEXTSPLIT(_xlpm.series, "-"))),
    _xlpm.descanso_texto, Tabela1[[#This Row],[Descanso]],
    _xlpm.descanso_num, VALUE(SUBSTITUTE(_xlpm.descanso_texto, "s", "")),
    (_xlpm.soma_cadencia * _xlpm.soma_reps * _xlpm.soma_series) + ((_xlpm.soma_series - 1) * _xlpm.descanso_num)
)/60</calculatedColumnFormula>
      <totalsRowFormula>(SUM(Tabela1[Tempo Total do Exercício])/60)/24</totalsRowFormula>
    </tableColumn>
    <tableColumn id="9" xr3:uid="{DA86D14E-7EEA-4020-B94E-6E8B512CD203}" name="Peso (kg)"/>
    <tableColumn id="10" xr3:uid="{B5C435AE-1EC0-4E77-8434-09F159EF090D}" name="RPE (Taxa de Esforço Percebido)"/>
    <tableColumn id="11" xr3:uid="{0DA504D7-5E08-464F-B009-DE148A220A88}" name="Obs.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D47647-0ADF-4197-8F90-A94F7A7BBEA0}" name="Tabela3" displayName="Tabela3" ref="A1:A27" totalsRowShown="0">
  <autoFilter ref="A1:A27" xr:uid="{30D47647-0ADF-4197-8F90-A94F7A7BBEA0}"/>
  <tableColumns count="1">
    <tableColumn id="1" xr3:uid="{BD17B3E1-C7A7-4740-8F04-48388E0F5E71}" name="Métodos"/>
  </tableColumns>
  <tableStyleInfo name="TableStyleDark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6A1D2C-423D-4667-AF3C-D02C46C23B10}" name="Tabela4" displayName="Tabela4" ref="C1:C5" totalsRowShown="0">
  <autoFilter ref="C1:C5" xr:uid="{F66A1D2C-423D-4667-AF3C-D02C46C23B10}"/>
  <tableColumns count="1">
    <tableColumn id="1" xr3:uid="{59A32FFD-5FD6-4F70-A029-7DFA992B88BC}" name="Objetivos"/>
  </tableColumns>
  <tableStyleInfo name="TableStyleDark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48EC49-0D93-48E6-9012-1A316B832A36}" name="Tabela7" displayName="Tabela7" ref="E1:I28" totalsRowCount="1" headerRowDxfId="15" dataDxfId="14">
  <autoFilter ref="E1:I27" xr:uid="{C248EC49-0D93-48E6-9012-1A316B832A36}"/>
  <tableColumns count="5">
    <tableColumn id="1" xr3:uid="{1384F953-4707-4BD7-AADD-50B36152BD2A}" name="Métodos/Objetivos" dataDxfId="13">
      <calculatedColumnFormula>Tabela3[[#This Row],[Métodos]]</calculatedColumnFormula>
    </tableColumn>
    <tableColumn id="2" xr3:uid="{C50B37F1-BBC8-4F9E-9AE0-482AC1CB9284}" name="Hipertrofia" dataDxfId="12"/>
    <tableColumn id="3" xr3:uid="{ABB978A5-EA43-47A4-8FEC-39EFFDDCED2A}" name="Força Máxima" dataDxfId="11"/>
    <tableColumn id="4" xr3:uid="{5A014027-31EC-4344-9D19-90473C9720A6}" name="Resistência Muscular" dataDxfId="10"/>
    <tableColumn id="5" xr3:uid="{92592DA2-E68B-424F-98B2-AB304D4ED6C9}" name="Manutenção/Reabilitação" dataDxfId="9"/>
  </tableColumns>
  <tableStyleInfo name="TableStyleDark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705FF1-E851-49A1-859F-5492F0FA3E5A}" name="Tabela8" displayName="Tabela8" ref="K1:O27" totalsRowShown="0">
  <autoFilter ref="K1:O27" xr:uid="{1B705FF1-E851-49A1-859F-5492F0FA3E5A}"/>
  <tableColumns count="5">
    <tableColumn id="1" xr3:uid="{8D9AF5BD-B494-4F89-9048-A658A8A5ACEA}" name="Métodos/Objetivos" dataDxfId="4">
      <calculatedColumnFormula>Tabela3[[#This Row],[Métodos]]</calculatedColumnFormula>
    </tableColumn>
    <tableColumn id="2" xr3:uid="{6450C433-4BCE-4A0D-BBC9-3CCCFCBEC59F}" name="Hipertrofia" dataDxfId="8"/>
    <tableColumn id="3" xr3:uid="{10AE9741-AC0B-4111-ABAF-6787051E2871}" name="Força Máxima" dataDxfId="7"/>
    <tableColumn id="4" xr3:uid="{A465DD72-055A-44EC-9D49-61E696058B10}" name="Resistência Muscular" dataDxfId="6"/>
    <tableColumn id="5" xr3:uid="{0341FCC7-F940-43C5-AF9D-572D62FDAE20}" name="Manutenção/Reabilitação" dataDxfId="5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D12" sqref="D12"/>
    </sheetView>
  </sheetViews>
  <sheetFormatPr defaultRowHeight="15" x14ac:dyDescent="0.25"/>
  <cols>
    <col min="1" max="1" width="19" bestFit="1" customWidth="1"/>
    <col min="2" max="2" width="10.28515625" bestFit="1" customWidth="1"/>
    <col min="3" max="3" width="8.7109375" bestFit="1" customWidth="1"/>
    <col min="4" max="4" width="13.140625" bestFit="1" customWidth="1"/>
    <col min="5" max="5" width="19.7109375" bestFit="1" customWidth="1"/>
    <col min="6" max="6" width="16.5703125" bestFit="1" customWidth="1"/>
    <col min="7" max="7" width="11.5703125" bestFit="1" customWidth="1"/>
    <col min="8" max="8" width="25.5703125" bestFit="1" customWidth="1"/>
    <col min="9" max="9" width="11.42578125" bestFit="1" customWidth="1"/>
    <col min="10" max="10" width="32.140625" bestFit="1" customWidth="1"/>
    <col min="11" max="11" width="7.28515625" bestFit="1" customWidth="1"/>
  </cols>
  <sheetData>
    <row r="1" spans="1:11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5</v>
      </c>
      <c r="G1" t="s">
        <v>4</v>
      </c>
      <c r="H1" t="s">
        <v>9</v>
      </c>
      <c r="I1" t="s">
        <v>6</v>
      </c>
      <c r="J1" t="s">
        <v>7</v>
      </c>
      <c r="K1" t="s">
        <v>8</v>
      </c>
    </row>
    <row r="2" spans="1:11" x14ac:dyDescent="0.25">
      <c r="A2" t="s">
        <v>64</v>
      </c>
      <c r="B2" t="s">
        <v>41</v>
      </c>
      <c r="C2" s="8" t="s">
        <v>63</v>
      </c>
      <c r="D2">
        <v>5</v>
      </c>
      <c r="E2" t="s">
        <v>37</v>
      </c>
      <c r="F2" t="str" cm="1">
        <f t="array" aca="1" ref="F2" ca="1">_xlfn.XLOOKUP(Tabela1[[#This Row],[Método]], Tabela7[Métodos/Objetivos], OFFSET(Tabela7[Métodos/Objetivos], 0, MATCH(Tabela1[[#This Row],[Objetivo]], Tabela7[#Headers], 0)-1))</f>
        <v>2-0-1-0</v>
      </c>
      <c r="G2" s="6" cm="1">
        <f t="array" aca="1" ref="G2" ca="1">_xlfn.XLOOKUP(Tabela1[[#This Row],[Método]], Tabela8[Métodos/Objetivos], OFFSET(Tabela8[Métodos/Objetivos], 0, MATCH(Tabela1[[#This Row],[Objetivo]], Tabela8[#Headers], 0)-1))</f>
        <v>180</v>
      </c>
      <c r="H2" s="7" cm="1">
        <f t="array" aca="1" ref="H2" ca="1">_xlfn.LET(
    _xlpm.cadencia, Tabela1[[#This Row],[Cadência (TUT)]],
    _xlpm.soma_cadencia, SUM(VALUE(_xlfn.TEXTSPLIT(_xlpm.cadencia, "-"))),
    _xlpm.reps, Tabela1[[#This Row],[Repetições]],
    _xlpm.soma_reps, SUM(VALUE(_xlfn.TEXTSPLIT(_xlpm.reps, "-"))),
    _xlpm.series, Tabela1[[#This Row],[Séries]],
    _xlpm.soma_series, SUM(VALUE(_xlfn.TEXTSPLIT(_xlpm.series, "-"))),
    _xlpm.descanso_texto, Tabela1[[#This Row],[Descanso]],
    _xlpm.descanso_num, VALUE(SUBSTITUTE(_xlpm.descanso_texto, "s", "")),
    (_xlpm.soma_cadencia * _xlpm.soma_reps * _xlpm.soma_series) + ((_xlpm.soma_series - 1) * _xlpm.descanso_num)
)/60</f>
        <v>6.75</v>
      </c>
    </row>
    <row r="3" spans="1:11" x14ac:dyDescent="0.25">
      <c r="A3" t="s">
        <v>68</v>
      </c>
      <c r="B3" t="s">
        <v>41</v>
      </c>
      <c r="C3" s="8" t="s">
        <v>63</v>
      </c>
      <c r="D3">
        <v>5</v>
      </c>
      <c r="E3" t="s">
        <v>37</v>
      </c>
      <c r="F3" t="str" cm="1">
        <f t="array" aca="1" ref="F3" ca="1">_xlfn.XLOOKUP(Tabela1[[#This Row],[Método]], Tabela7[Métodos/Objetivos], OFFSET(Tabela7[Métodos/Objetivos], 0, MATCH(Tabela1[[#This Row],[Objetivo]], Tabela7[#Headers], 0)-1))</f>
        <v>2-0-1-0</v>
      </c>
      <c r="G3" s="6" cm="1">
        <f t="array" aca="1" ref="G3" ca="1">_xlfn.XLOOKUP(Tabela1[[#This Row],[Método]], Tabela8[Métodos/Objetivos], OFFSET(Tabela8[Métodos/Objetivos], 0, MATCH(Tabela1[[#This Row],[Objetivo]], Tabela8[#Headers], 0)-1))</f>
        <v>180</v>
      </c>
      <c r="H3" s="7" cm="1">
        <f t="array" aca="1" ref="H3" ca="1">_xlfn.LET(
    _xlpm.cadencia, Tabela1[[#This Row],[Cadência (TUT)]],
    _xlpm.soma_cadencia, SUM(VALUE(_xlfn.TEXTSPLIT(_xlpm.cadencia, "-"))),
    _xlpm.reps, Tabela1[[#This Row],[Repetições]],
    _xlpm.soma_reps, SUM(VALUE(_xlfn.TEXTSPLIT(_xlpm.reps, "-"))),
    _xlpm.series, Tabela1[[#This Row],[Séries]],
    _xlpm.soma_series, SUM(VALUE(_xlfn.TEXTSPLIT(_xlpm.series, "-"))),
    _xlpm.descanso_texto, Tabela1[[#This Row],[Descanso]],
    _xlpm.descanso_num, VALUE(SUBSTITUTE(_xlpm.descanso_texto, "s", "")),
    (_xlpm.soma_cadencia * _xlpm.soma_reps * _xlpm.soma_series) + ((_xlpm.soma_series - 1) * _xlpm.descanso_num)
)/60</f>
        <v>6.75</v>
      </c>
    </row>
    <row r="4" spans="1:11" x14ac:dyDescent="0.25">
      <c r="A4" t="s">
        <v>65</v>
      </c>
      <c r="B4" t="s">
        <v>41</v>
      </c>
      <c r="C4" s="8" t="s">
        <v>63</v>
      </c>
      <c r="D4">
        <v>5</v>
      </c>
      <c r="E4" t="s">
        <v>37</v>
      </c>
      <c r="F4" t="str" cm="1">
        <f t="array" aca="1" ref="F4" ca="1">_xlfn.XLOOKUP(Tabela1[[#This Row],[Método]], Tabela7[Métodos/Objetivos], OFFSET(Tabela7[Métodos/Objetivos], 0, MATCH(Tabela1[[#This Row],[Objetivo]], Tabela7[#Headers], 0)-1))</f>
        <v>2-0-1-0</v>
      </c>
      <c r="G4" s="6" cm="1">
        <f t="array" aca="1" ref="G4" ca="1">_xlfn.XLOOKUP(Tabela1[[#This Row],[Método]], Tabela8[Métodos/Objetivos], OFFSET(Tabela8[Métodos/Objetivos], 0, MATCH(Tabela1[[#This Row],[Objetivo]], Tabela8[#Headers], 0)-1))</f>
        <v>180</v>
      </c>
      <c r="H4" s="7" cm="1">
        <f t="array" aca="1" ref="H4" ca="1">_xlfn.LET(
    _xlpm.cadencia, Tabela1[[#This Row],[Cadência (TUT)]],
    _xlpm.soma_cadencia, SUM(VALUE(_xlfn.TEXTSPLIT(_xlpm.cadencia, "-"))),
    _xlpm.reps, Tabela1[[#This Row],[Repetições]],
    _xlpm.soma_reps, SUM(VALUE(_xlfn.TEXTSPLIT(_xlpm.reps, "-"))),
    _xlpm.series, Tabela1[[#This Row],[Séries]],
    _xlpm.soma_series, SUM(VALUE(_xlfn.TEXTSPLIT(_xlpm.series, "-"))),
    _xlpm.descanso_texto, Tabela1[[#This Row],[Descanso]],
    _xlpm.descanso_num, VALUE(SUBSTITUTE(_xlpm.descanso_texto, "s", "")),
    (_xlpm.soma_cadencia * _xlpm.soma_reps * _xlpm.soma_series) + ((_xlpm.soma_series - 1) * _xlpm.descanso_num)
)/60</f>
        <v>6.75</v>
      </c>
    </row>
    <row r="5" spans="1:11" x14ac:dyDescent="0.25">
      <c r="A5" t="s">
        <v>66</v>
      </c>
      <c r="B5" t="s">
        <v>41</v>
      </c>
      <c r="C5" s="8" t="s">
        <v>63</v>
      </c>
      <c r="D5">
        <v>5</v>
      </c>
      <c r="E5" t="s">
        <v>37</v>
      </c>
      <c r="F5" t="str" cm="1">
        <f t="array" aca="1" ref="F5" ca="1">_xlfn.XLOOKUP(Tabela1[[#This Row],[Método]], Tabela7[Métodos/Objetivos], OFFSET(Tabela7[Métodos/Objetivos], 0, MATCH(Tabela1[[#This Row],[Objetivo]], Tabela7[#Headers], 0)-1))</f>
        <v>2-0-1-0</v>
      </c>
      <c r="G5" s="6" cm="1">
        <f t="array" aca="1" ref="G5" ca="1">_xlfn.XLOOKUP(Tabela1[[#This Row],[Método]], Tabela8[Métodos/Objetivos], OFFSET(Tabela8[Métodos/Objetivos], 0, MATCH(Tabela1[[#This Row],[Objetivo]], Tabela8[#Headers], 0)-1))</f>
        <v>180</v>
      </c>
      <c r="H5" s="7" cm="1">
        <f t="array" aca="1" ref="H5" ca="1">_xlfn.LET(
    _xlpm.cadencia, Tabela1[[#This Row],[Cadência (TUT)]],
    _xlpm.soma_cadencia, SUM(VALUE(_xlfn.TEXTSPLIT(_xlpm.cadencia, "-"))),
    _xlpm.reps, Tabela1[[#This Row],[Repetições]],
    _xlpm.soma_reps, SUM(VALUE(_xlfn.TEXTSPLIT(_xlpm.reps, "-"))),
    _xlpm.series, Tabela1[[#This Row],[Séries]],
    _xlpm.soma_series, SUM(VALUE(_xlfn.TEXTSPLIT(_xlpm.series, "-"))),
    _xlpm.descanso_texto, Tabela1[[#This Row],[Descanso]],
    _xlpm.descanso_num, VALUE(SUBSTITUTE(_xlpm.descanso_texto, "s", "")),
    (_xlpm.soma_cadencia * _xlpm.soma_reps * _xlpm.soma_series) + ((_xlpm.soma_series - 1) * _xlpm.descanso_num)
)/60</f>
        <v>6.75</v>
      </c>
    </row>
    <row r="6" spans="1:11" x14ac:dyDescent="0.25">
      <c r="A6" t="s">
        <v>67</v>
      </c>
      <c r="B6" t="s">
        <v>41</v>
      </c>
      <c r="C6" s="8" t="s">
        <v>63</v>
      </c>
      <c r="D6">
        <v>5</v>
      </c>
      <c r="E6" t="s">
        <v>37</v>
      </c>
      <c r="F6" t="str" cm="1">
        <f t="array" aca="1" ref="F6" ca="1">_xlfn.XLOOKUP(Tabela1[[#This Row],[Método]], Tabela7[Métodos/Objetivos], OFFSET(Tabela7[Métodos/Objetivos], 0, MATCH(Tabela1[[#This Row],[Objetivo]], Tabela7[#Headers], 0)-1))</f>
        <v>2-0-1-0</v>
      </c>
      <c r="G6" s="6" cm="1">
        <f t="array" aca="1" ref="G6" ca="1">_xlfn.XLOOKUP(Tabela1[[#This Row],[Método]], Tabela8[Métodos/Objetivos], OFFSET(Tabela8[Métodos/Objetivos], 0, MATCH(Tabela1[[#This Row],[Objetivo]], Tabela8[#Headers], 0)-1))</f>
        <v>180</v>
      </c>
      <c r="H6" s="7" cm="1">
        <f t="array" aca="1" ref="H6" ca="1">_xlfn.LET(
    _xlpm.cadencia, Tabela1[[#This Row],[Cadência (TUT)]],
    _xlpm.soma_cadencia, SUM(VALUE(_xlfn.TEXTSPLIT(_xlpm.cadencia, "-"))),
    _xlpm.reps, Tabela1[[#This Row],[Repetições]],
    _xlpm.soma_reps, SUM(VALUE(_xlfn.TEXTSPLIT(_xlpm.reps, "-"))),
    _xlpm.series, Tabela1[[#This Row],[Séries]],
    _xlpm.soma_series, SUM(VALUE(_xlfn.TEXTSPLIT(_xlpm.series, "-"))),
    _xlpm.descanso_texto, Tabela1[[#This Row],[Descanso]],
    _xlpm.descanso_num, VALUE(SUBSTITUTE(_xlpm.descanso_texto, "s", "")),
    (_xlpm.soma_cadencia * _xlpm.soma_reps * _xlpm.soma_series) + ((_xlpm.soma_series - 1) * _xlpm.descanso_num)
)/60</f>
        <v>6.75</v>
      </c>
    </row>
    <row r="7" spans="1:11" x14ac:dyDescent="0.25">
      <c r="A7" t="s">
        <v>69</v>
      </c>
      <c r="B7" t="s">
        <v>60</v>
      </c>
      <c r="C7" s="8" t="s">
        <v>63</v>
      </c>
      <c r="D7">
        <v>60</v>
      </c>
      <c r="E7" t="s">
        <v>38</v>
      </c>
      <c r="F7" t="str" cm="1">
        <f t="array" aca="1" ref="F7" ca="1">_xlfn.XLOOKUP(Tabela1[[#This Row],[Método]], Tabela7[Métodos/Objetivos], OFFSET(Tabela7[Métodos/Objetivos], 0, MATCH(Tabela1[[#This Row],[Objetivo]], Tabela7[#Headers], 0)-1))</f>
        <v>1-0-1-0</v>
      </c>
      <c r="G7" s="6" cm="1">
        <f t="array" aca="1" ref="G7" ca="1">_xlfn.XLOOKUP(Tabela1[[#This Row],[Método]], Tabela8[Métodos/Objetivos], OFFSET(Tabela8[Métodos/Objetivos], 0, MATCH(Tabela1[[#This Row],[Objetivo]], Tabela8[#Headers], 0)-1))</f>
        <v>0</v>
      </c>
      <c r="H7" s="7" cm="1">
        <f t="array" aca="1" ref="H7" ca="1">_xlfn.LET(
    _xlpm.cadencia, Tabela1[[#This Row],[Cadência (TUT)]],
    _xlpm.soma_cadencia, SUM(VALUE(_xlfn.TEXTSPLIT(_xlpm.cadencia, "-"))),
    _xlpm.reps, Tabela1[[#This Row],[Repetições]],
    _xlpm.soma_reps, SUM(VALUE(_xlfn.TEXTSPLIT(_xlpm.reps, "-"))),
    _xlpm.series, Tabela1[[#This Row],[Séries]],
    _xlpm.soma_series, SUM(VALUE(_xlfn.TEXTSPLIT(_xlpm.series, "-"))),
    _xlpm.descanso_texto, Tabela1[[#This Row],[Descanso]],
    _xlpm.descanso_num, VALUE(SUBSTITUTE(_xlpm.descanso_texto, "s", "")),
    (_xlpm.soma_cadencia * _xlpm.soma_reps * _xlpm.soma_series) + ((_xlpm.soma_series - 1) * _xlpm.descanso_num)
)/60</f>
        <v>6</v>
      </c>
    </row>
    <row r="8" spans="1:11" x14ac:dyDescent="0.25">
      <c r="A8" t="s">
        <v>70</v>
      </c>
      <c r="B8" t="s">
        <v>22</v>
      </c>
      <c r="C8" s="8" t="s">
        <v>63</v>
      </c>
      <c r="D8">
        <v>0</v>
      </c>
      <c r="E8" t="s">
        <v>38</v>
      </c>
      <c r="F8" t="str" cm="1">
        <f t="array" aca="1" ref="F8" ca="1">_xlfn.XLOOKUP(Tabela1[[#This Row],[Método]], Tabela7[Métodos/Objetivos], OFFSET(Tabela7[Métodos/Objetivos], 0, MATCH(Tabela1[[#This Row],[Objetivo]], Tabela7[#Headers], 0)-1))</f>
        <v>1-2-1-0</v>
      </c>
      <c r="G8" s="6" cm="1">
        <f t="array" aca="1" ref="G8" ca="1">_xlfn.XLOOKUP(Tabela1[[#This Row],[Método]], Tabela8[Métodos/Objetivos], OFFSET(Tabela8[Métodos/Objetivos], 0, MATCH(Tabela1[[#This Row],[Objetivo]], Tabela8[#Headers], 0)-1))</f>
        <v>45</v>
      </c>
      <c r="H8" s="7" cm="1">
        <f t="array" aca="1" ref="H8" ca="1">_xlfn.LET(
    _xlpm.cadencia, Tabela1[[#This Row],[Cadência (TUT)]],
    _xlpm.soma_cadencia, SUM(VALUE(_xlfn.TEXTSPLIT(_xlpm.cadencia, "-"))),
    _xlpm.reps, Tabela1[[#This Row],[Repetições]],
    _xlpm.soma_reps, SUM(VALUE(_xlfn.TEXTSPLIT(_xlpm.reps, "-"))),
    _xlpm.series, Tabela1[[#This Row],[Séries]],
    _xlpm.soma_series, SUM(VALUE(_xlfn.TEXTSPLIT(_xlpm.series, "-"))),
    _xlpm.descanso_texto, Tabela1[[#This Row],[Descanso]],
    _xlpm.descanso_num, VALUE(SUBSTITUTE(_xlpm.descanso_texto, "s", "")),
    (_xlpm.soma_cadencia * _xlpm.soma_reps * _xlpm.soma_series) + ((_xlpm.soma_series - 1) * _xlpm.descanso_num)
)/60</f>
        <v>1.5</v>
      </c>
    </row>
    <row r="9" spans="1:11" x14ac:dyDescent="0.25">
      <c r="A9" t="s">
        <v>71</v>
      </c>
      <c r="B9" t="s">
        <v>41</v>
      </c>
      <c r="C9" s="8" t="s">
        <v>73</v>
      </c>
      <c r="D9">
        <v>1</v>
      </c>
      <c r="E9" t="s">
        <v>37</v>
      </c>
      <c r="F9" t="str" cm="1">
        <f t="array" aca="1" ref="F9" ca="1">_xlfn.XLOOKUP(Tabela1[[#This Row],[Método]], Tabela7[Métodos/Objetivos], OFFSET(Tabela7[Métodos/Objetivos], 0, MATCH(Tabela1[[#This Row],[Objetivo]], Tabela7[#Headers], 0)-1))</f>
        <v>2-0-1-0</v>
      </c>
      <c r="G9" s="6" cm="1">
        <f t="array" aca="1" ref="G9" ca="1">_xlfn.XLOOKUP(Tabela1[[#This Row],[Método]], Tabela8[Métodos/Objetivos], OFFSET(Tabela8[Métodos/Objetivos], 0, MATCH(Tabela1[[#This Row],[Objetivo]], Tabela8[#Headers], 0)-1))</f>
        <v>180</v>
      </c>
      <c r="H9" s="7" cm="1">
        <f t="array" aca="1" ref="H9" ca="1">_xlfn.LET(
    _xlpm.cadencia, Tabela1[[#This Row],[Cadência (TUT)]],
    _xlpm.soma_cadencia, SUM(VALUE(_xlfn.TEXTSPLIT(_xlpm.cadencia, "-"))),
    _xlpm.reps, Tabela1[[#This Row],[Repetições]],
    _xlpm.soma_reps, SUM(VALUE(_xlfn.TEXTSPLIT(_xlpm.reps, "-"))),
    _xlpm.series, Tabela1[[#This Row],[Séries]],
    _xlpm.soma_series, SUM(VALUE(_xlfn.TEXTSPLIT(_xlpm.series, "-"))),
    _xlpm.descanso_texto, Tabela1[[#This Row],[Descanso]],
    _xlpm.descanso_num, VALUE(SUBSTITUTE(_xlpm.descanso_texto, "s", "")),
    (_xlpm.soma_cadencia * _xlpm.soma_reps * _xlpm.soma_series) + ((_xlpm.soma_series - 1) * _xlpm.descanso_num)
)/60</f>
        <v>0.05</v>
      </c>
    </row>
    <row r="10" spans="1:11" x14ac:dyDescent="0.25">
      <c r="A10" t="s">
        <v>72</v>
      </c>
      <c r="B10" t="s">
        <v>41</v>
      </c>
      <c r="C10" s="8" t="s">
        <v>73</v>
      </c>
      <c r="D10">
        <v>1</v>
      </c>
      <c r="E10" t="s">
        <v>38</v>
      </c>
      <c r="F10" t="str" cm="1">
        <f t="array" aca="1" ref="F10" ca="1">_xlfn.XLOOKUP(Tabela1[[#This Row],[Método]], Tabela7[Métodos/Objetivos], OFFSET(Tabela7[Métodos/Objetivos], 0, MATCH(Tabela1[[#This Row],[Objetivo]], Tabela7[#Headers], 0)-1))</f>
        <v>1-0-1-0</v>
      </c>
      <c r="G10" s="6" cm="1">
        <f t="array" aca="1" ref="G10" ca="1">_xlfn.XLOOKUP(Tabela1[[#This Row],[Método]], Tabela8[Métodos/Objetivos], OFFSET(Tabela8[Métodos/Objetivos], 0, MATCH(Tabela1[[#This Row],[Objetivo]], Tabela8[#Headers], 0)-1))</f>
        <v>45</v>
      </c>
      <c r="H10" s="7" cm="1">
        <f t="array" aca="1" ref="H10" ca="1">_xlfn.LET(
    _xlpm.cadencia, Tabela1[[#This Row],[Cadência (TUT)]],
    _xlpm.soma_cadencia, SUM(VALUE(_xlfn.TEXTSPLIT(_xlpm.cadencia, "-"))),
    _xlpm.reps, Tabela1[[#This Row],[Repetições]],
    _xlpm.soma_reps, SUM(VALUE(_xlfn.TEXTSPLIT(_xlpm.reps, "-"))),
    _xlpm.series, Tabela1[[#This Row],[Séries]],
    _xlpm.soma_series, SUM(VALUE(_xlfn.TEXTSPLIT(_xlpm.series, "-"))),
    _xlpm.descanso_texto, Tabela1[[#This Row],[Descanso]],
    _xlpm.descanso_num, VALUE(SUBSTITUTE(_xlpm.descanso_texto, "s", "")),
    (_xlpm.soma_cadencia * _xlpm.soma_reps * _xlpm.soma_series) + ((_xlpm.soma_series - 1) * _xlpm.descanso_num)
)/60</f>
        <v>3.3333333333333333E-2</v>
      </c>
    </row>
    <row r="11" spans="1:11" x14ac:dyDescent="0.25">
      <c r="H11" s="10">
        <f ca="1">(SUM(Tabela1[Tempo Total do Exercício])/60)/24</f>
        <v>2.87037037037037E-2</v>
      </c>
    </row>
    <row r="12" spans="1:11" x14ac:dyDescent="0.25">
      <c r="H12" s="9"/>
    </row>
  </sheetData>
  <phoneticPr fontId="3" type="noConversion"/>
  <dataValidations count="1">
    <dataValidation type="list" allowBlank="1" showInputMessage="1" showErrorMessage="1" sqref="B2:B10" xr:uid="{670BF4F2-4951-409E-ACA2-591449D6400A}">
      <formula1>ListaMetodos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0F030B-DCA7-4B2D-B580-1ED591D0115D}">
          <x14:formula1>
            <xm:f>Dados!$C$2:$C$5</xm:f>
          </x14:formula1>
          <xm:sqref>E2:E10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D446-284D-4298-863E-1E95DF545ACB}">
  <dimension ref="A1:O27"/>
  <sheetViews>
    <sheetView topLeftCell="B1" zoomScale="115" zoomScaleNormal="115" workbookViewId="0">
      <selection activeCell="K3" sqref="K3"/>
    </sheetView>
  </sheetViews>
  <sheetFormatPr defaultRowHeight="15" x14ac:dyDescent="0.25"/>
  <cols>
    <col min="1" max="1" width="44.28515625" bestFit="1" customWidth="1"/>
    <col min="3" max="3" width="24.140625" bestFit="1" customWidth="1"/>
    <col min="5" max="5" width="44.28515625" bestFit="1" customWidth="1"/>
    <col min="6" max="6" width="13" bestFit="1" customWidth="1"/>
    <col min="7" max="7" width="15.7109375" bestFit="1" customWidth="1"/>
    <col min="8" max="8" width="22.140625" bestFit="1" customWidth="1"/>
    <col min="9" max="9" width="26.5703125" bestFit="1" customWidth="1"/>
    <col min="11" max="11" width="18.42578125" bestFit="1" customWidth="1"/>
    <col min="12" max="12" width="13" bestFit="1" customWidth="1"/>
    <col min="13" max="13" width="15.7109375" bestFit="1" customWidth="1"/>
    <col min="14" max="14" width="22.140625" bestFit="1" customWidth="1"/>
    <col min="15" max="15" width="26.5703125" bestFit="1" customWidth="1"/>
  </cols>
  <sheetData>
    <row r="1" spans="1:15" ht="15.75" thickBot="1" x14ac:dyDescent="0.3">
      <c r="A1" t="s">
        <v>11</v>
      </c>
      <c r="C1" t="s">
        <v>35</v>
      </c>
      <c r="E1" s="3" t="s">
        <v>40</v>
      </c>
      <c r="F1" s="3" t="s">
        <v>36</v>
      </c>
      <c r="G1" s="3" t="s">
        <v>37</v>
      </c>
      <c r="H1" s="3" t="s">
        <v>38</v>
      </c>
      <c r="I1" s="3" t="s">
        <v>39</v>
      </c>
      <c r="K1" t="s">
        <v>40</v>
      </c>
      <c r="L1" t="s">
        <v>36</v>
      </c>
      <c r="M1" t="s">
        <v>37</v>
      </c>
      <c r="N1" t="s">
        <v>38</v>
      </c>
      <c r="O1" t="s">
        <v>39</v>
      </c>
    </row>
    <row r="2" spans="1:15" x14ac:dyDescent="0.25">
      <c r="A2" t="s">
        <v>41</v>
      </c>
      <c r="C2" t="s">
        <v>36</v>
      </c>
      <c r="E2" s="4" t="str">
        <f>Tabela3[[#This Row],[Métodos]]</f>
        <v>Default</v>
      </c>
      <c r="F2" s="4" t="s">
        <v>42</v>
      </c>
      <c r="G2" s="4" t="s">
        <v>43</v>
      </c>
      <c r="H2" s="4" t="s">
        <v>44</v>
      </c>
      <c r="I2" s="4" t="s">
        <v>45</v>
      </c>
      <c r="K2" t="str">
        <f>Tabela3[[#This Row],[Métodos]]</f>
        <v>Default</v>
      </c>
      <c r="L2" s="5">
        <v>60</v>
      </c>
      <c r="M2" s="5">
        <v>180</v>
      </c>
      <c r="N2" s="5">
        <v>45</v>
      </c>
      <c r="O2" s="5">
        <v>120</v>
      </c>
    </row>
    <row r="3" spans="1:15" x14ac:dyDescent="0.25">
      <c r="A3" t="s">
        <v>12</v>
      </c>
      <c r="C3" t="s">
        <v>37</v>
      </c>
      <c r="E3" s="2" t="str">
        <f>Tabela3[[#This Row],[Métodos]]</f>
        <v>Drop-set</v>
      </c>
      <c r="F3" s="2" t="s">
        <v>43</v>
      </c>
      <c r="G3" s="2" t="s">
        <v>43</v>
      </c>
      <c r="H3" s="2" t="s">
        <v>44</v>
      </c>
      <c r="I3" s="2" t="s">
        <v>42</v>
      </c>
      <c r="K3" t="str">
        <f>Tabela3[[#This Row],[Métodos]]</f>
        <v>Drop-set</v>
      </c>
      <c r="L3" s="5">
        <v>120</v>
      </c>
      <c r="M3" s="5">
        <v>120</v>
      </c>
      <c r="N3" s="5">
        <v>60</v>
      </c>
      <c r="O3" s="5">
        <v>150</v>
      </c>
    </row>
    <row r="4" spans="1:15" x14ac:dyDescent="0.25">
      <c r="A4" t="s">
        <v>13</v>
      </c>
      <c r="C4" t="s">
        <v>38</v>
      </c>
      <c r="E4" s="1" t="str">
        <f>Tabela3[[#This Row],[Métodos]]</f>
        <v>Rest-Pause</v>
      </c>
      <c r="F4" s="1" t="s">
        <v>46</v>
      </c>
      <c r="G4" s="1" t="s">
        <v>43</v>
      </c>
      <c r="H4" s="1" t="s">
        <v>44</v>
      </c>
      <c r="I4" s="1" t="s">
        <v>42</v>
      </c>
      <c r="K4" t="str">
        <f>Tabela3[[#This Row],[Métodos]]</f>
        <v>Rest-Pause</v>
      </c>
      <c r="L4" s="5">
        <v>10</v>
      </c>
      <c r="M4" s="5">
        <v>10</v>
      </c>
      <c r="N4" s="5">
        <v>10</v>
      </c>
      <c r="O4" s="5">
        <v>15</v>
      </c>
    </row>
    <row r="5" spans="1:15" x14ac:dyDescent="0.25">
      <c r="A5" t="s">
        <v>14</v>
      </c>
      <c r="C5" t="s">
        <v>39</v>
      </c>
      <c r="E5" s="2" t="str">
        <f>Tabela3[[#This Row],[Métodos]]</f>
        <v>Cluster Sets</v>
      </c>
      <c r="F5" s="2" t="s">
        <v>42</v>
      </c>
      <c r="G5" s="2" t="s">
        <v>43</v>
      </c>
      <c r="H5" s="2" t="s">
        <v>43</v>
      </c>
      <c r="I5" s="2" t="s">
        <v>42</v>
      </c>
      <c r="K5" t="str">
        <f>Tabela3[[#This Row],[Métodos]]</f>
        <v>Cluster Sets</v>
      </c>
      <c r="L5" s="5">
        <v>20</v>
      </c>
      <c r="M5" s="5">
        <v>30</v>
      </c>
      <c r="N5" s="5">
        <v>15</v>
      </c>
      <c r="O5" s="5">
        <v>30</v>
      </c>
    </row>
    <row r="6" spans="1:15" x14ac:dyDescent="0.25">
      <c r="A6" t="s">
        <v>15</v>
      </c>
      <c r="E6" s="1" t="str">
        <f>Tabela3[[#This Row],[Métodos]]</f>
        <v>Falha Concêntrica</v>
      </c>
      <c r="F6" s="1" t="s">
        <v>42</v>
      </c>
      <c r="G6" s="1" t="s">
        <v>43</v>
      </c>
      <c r="H6" s="1" t="s">
        <v>44</v>
      </c>
      <c r="I6" s="1" t="s">
        <v>42</v>
      </c>
      <c r="K6" t="str">
        <f>Tabela3[[#This Row],[Métodos]]</f>
        <v>Falha Concêntrica</v>
      </c>
      <c r="L6" s="5">
        <v>90</v>
      </c>
      <c r="M6" s="5">
        <v>180</v>
      </c>
      <c r="N6" s="5">
        <v>45</v>
      </c>
      <c r="O6" s="5">
        <v>120</v>
      </c>
    </row>
    <row r="7" spans="1:15" x14ac:dyDescent="0.25">
      <c r="A7" t="s">
        <v>16</v>
      </c>
      <c r="E7" s="2" t="str">
        <f>Tabela3[[#This Row],[Métodos]]</f>
        <v>Bi-set</v>
      </c>
      <c r="F7" s="2" t="s">
        <v>42</v>
      </c>
      <c r="G7" s="2" t="s">
        <v>43</v>
      </c>
      <c r="H7" s="2" t="s">
        <v>44</v>
      </c>
      <c r="I7" s="2" t="s">
        <v>42</v>
      </c>
      <c r="K7" t="str">
        <f>Tabela3[[#This Row],[Métodos]]</f>
        <v>Bi-set</v>
      </c>
      <c r="L7" s="5">
        <v>90</v>
      </c>
      <c r="M7" s="5" t="s">
        <v>62</v>
      </c>
      <c r="N7" s="5">
        <v>45</v>
      </c>
      <c r="O7" s="5">
        <v>120</v>
      </c>
    </row>
    <row r="8" spans="1:15" x14ac:dyDescent="0.25">
      <c r="A8" t="s">
        <v>17</v>
      </c>
      <c r="E8" s="1" t="str">
        <f>Tabela3[[#This Row],[Métodos]]</f>
        <v>Tri-set</v>
      </c>
      <c r="F8" s="1" t="s">
        <v>42</v>
      </c>
      <c r="G8" s="1" t="s">
        <v>43</v>
      </c>
      <c r="H8" s="1" t="s">
        <v>44</v>
      </c>
      <c r="I8" s="1" t="s">
        <v>42</v>
      </c>
      <c r="K8" t="str">
        <f>Tabela3[[#This Row],[Métodos]]</f>
        <v>Tri-set</v>
      </c>
      <c r="L8" s="5">
        <v>120</v>
      </c>
      <c r="M8" s="5" t="s">
        <v>62</v>
      </c>
      <c r="N8" s="5">
        <v>60</v>
      </c>
      <c r="O8" s="5">
        <v>150</v>
      </c>
    </row>
    <row r="9" spans="1:15" x14ac:dyDescent="0.25">
      <c r="A9" t="s">
        <v>18</v>
      </c>
      <c r="E9" s="2" t="str">
        <f>Tabela3[[#This Row],[Métodos]]</f>
        <v>Giant Set</v>
      </c>
      <c r="F9" s="2" t="s">
        <v>43</v>
      </c>
      <c r="G9" s="2" t="s">
        <v>43</v>
      </c>
      <c r="H9" s="2" t="s">
        <v>44</v>
      </c>
      <c r="I9" s="2" t="s">
        <v>42</v>
      </c>
      <c r="K9" t="str">
        <f>Tabela3[[#This Row],[Métodos]]</f>
        <v>Giant Set</v>
      </c>
      <c r="L9" s="5">
        <v>180</v>
      </c>
      <c r="M9" s="5" t="s">
        <v>62</v>
      </c>
      <c r="N9" s="5">
        <v>90</v>
      </c>
      <c r="O9" s="5">
        <v>180</v>
      </c>
    </row>
    <row r="10" spans="1:15" x14ac:dyDescent="0.25">
      <c r="A10" t="s">
        <v>19</v>
      </c>
      <c r="E10" s="1" t="str">
        <f>Tabela3[[#This Row],[Métodos]]</f>
        <v>Supersérie (Antagonista)</v>
      </c>
      <c r="F10" s="1" t="s">
        <v>42</v>
      </c>
      <c r="G10" s="1" t="s">
        <v>43</v>
      </c>
      <c r="H10" s="1" t="s">
        <v>44</v>
      </c>
      <c r="I10" s="1" t="s">
        <v>42</v>
      </c>
      <c r="K10" t="str">
        <f>Tabela3[[#This Row],[Métodos]]</f>
        <v>Supersérie (Antagonista)</v>
      </c>
      <c r="L10" s="5">
        <v>90</v>
      </c>
      <c r="M10" s="5">
        <v>180</v>
      </c>
      <c r="N10" s="5">
        <v>45</v>
      </c>
      <c r="O10" s="5">
        <v>120</v>
      </c>
    </row>
    <row r="11" spans="1:15" x14ac:dyDescent="0.25">
      <c r="A11" t="s">
        <v>20</v>
      </c>
      <c r="E11" s="2" t="str">
        <f>Tabela3[[#This Row],[Métodos]]</f>
        <v>Supersérie (Agonista)</v>
      </c>
      <c r="F11" s="2" t="s">
        <v>42</v>
      </c>
      <c r="G11" s="2" t="s">
        <v>43</v>
      </c>
      <c r="H11" s="2" t="s">
        <v>44</v>
      </c>
      <c r="I11" s="2" t="s">
        <v>42</v>
      </c>
      <c r="K11" t="str">
        <f>Tabela3[[#This Row],[Métodos]]</f>
        <v>Supersérie (Agonista)</v>
      </c>
      <c r="L11" s="5">
        <v>120</v>
      </c>
      <c r="M11" s="5" t="s">
        <v>62</v>
      </c>
      <c r="N11" s="5">
        <v>60</v>
      </c>
      <c r="O11" s="5">
        <v>150</v>
      </c>
    </row>
    <row r="12" spans="1:15" x14ac:dyDescent="0.25">
      <c r="A12" t="s">
        <v>21</v>
      </c>
      <c r="E12" s="1" t="str">
        <f>Tabela3[[#This Row],[Métodos]]</f>
        <v>Tempo sob Tensão (TUT/Cadência)</v>
      </c>
      <c r="F12" s="1" t="s">
        <v>45</v>
      </c>
      <c r="G12" s="1" t="s">
        <v>42</v>
      </c>
      <c r="H12" s="1" t="s">
        <v>47</v>
      </c>
      <c r="I12" s="1" t="s">
        <v>48</v>
      </c>
      <c r="K12" t="str">
        <f>Tabela3[[#This Row],[Métodos]]</f>
        <v>Tempo sob Tensão (TUT/Cadência)</v>
      </c>
      <c r="L12" s="5">
        <v>90</v>
      </c>
      <c r="M12" s="5">
        <v>120</v>
      </c>
      <c r="N12" s="5">
        <v>45</v>
      </c>
      <c r="O12" s="5">
        <v>120</v>
      </c>
    </row>
    <row r="13" spans="1:15" x14ac:dyDescent="0.25">
      <c r="A13" t="s">
        <v>22</v>
      </c>
      <c r="E13" s="2" t="str">
        <f>Tabela3[[#This Row],[Métodos]]</f>
        <v>Isometria</v>
      </c>
      <c r="F13" s="2" t="s">
        <v>49</v>
      </c>
      <c r="G13" s="2" t="s">
        <v>50</v>
      </c>
      <c r="H13" s="2" t="s">
        <v>51</v>
      </c>
      <c r="I13" s="2" t="s">
        <v>52</v>
      </c>
      <c r="K13" t="str">
        <f>Tabela3[[#This Row],[Métodos]]</f>
        <v>Isometria</v>
      </c>
      <c r="L13" s="5">
        <v>90</v>
      </c>
      <c r="M13" s="5">
        <v>120</v>
      </c>
      <c r="N13" s="5">
        <v>45</v>
      </c>
      <c r="O13" s="5">
        <v>120</v>
      </c>
    </row>
    <row r="14" spans="1:15" x14ac:dyDescent="0.25">
      <c r="A14" t="s">
        <v>23</v>
      </c>
      <c r="E14" s="1" t="str">
        <f>Tabela3[[#This Row],[Métodos]]</f>
        <v>Repetições Parciais</v>
      </c>
      <c r="F14" s="1" t="s">
        <v>43</v>
      </c>
      <c r="G14" s="1" t="s">
        <v>43</v>
      </c>
      <c r="H14" s="1" t="s">
        <v>44</v>
      </c>
      <c r="I14" s="1" t="s">
        <v>42</v>
      </c>
      <c r="K14" t="str">
        <f>Tabela3[[#This Row],[Métodos]]</f>
        <v>Repetições Parciais</v>
      </c>
      <c r="L14" s="5">
        <v>60</v>
      </c>
      <c r="M14" s="5">
        <v>90</v>
      </c>
      <c r="N14" s="5">
        <v>30</v>
      </c>
      <c r="O14" s="5">
        <v>90</v>
      </c>
    </row>
    <row r="15" spans="1:15" x14ac:dyDescent="0.25">
      <c r="A15" t="s">
        <v>24</v>
      </c>
      <c r="E15" s="2" t="str">
        <f>Tabela3[[#This Row],[Métodos]]</f>
        <v>Pirâmide Crescente</v>
      </c>
      <c r="F15" s="2" t="s">
        <v>42</v>
      </c>
      <c r="G15" s="2" t="s">
        <v>43</v>
      </c>
      <c r="H15" s="2" t="s">
        <v>44</v>
      </c>
      <c r="I15" s="2" t="s">
        <v>42</v>
      </c>
      <c r="K15" t="str">
        <f>Tabela3[[#This Row],[Métodos]]</f>
        <v>Pirâmide Crescente</v>
      </c>
      <c r="L15" s="5">
        <v>90</v>
      </c>
      <c r="M15" s="5">
        <v>150</v>
      </c>
      <c r="N15" s="5">
        <v>45</v>
      </c>
      <c r="O15" s="5">
        <v>120</v>
      </c>
    </row>
    <row r="16" spans="1:15" x14ac:dyDescent="0.25">
      <c r="A16" t="s">
        <v>25</v>
      </c>
      <c r="E16" s="1" t="str">
        <f>Tabela3[[#This Row],[Métodos]]</f>
        <v>Pirâmide Decrescente</v>
      </c>
      <c r="F16" s="1" t="s">
        <v>42</v>
      </c>
      <c r="G16" s="1" t="s">
        <v>43</v>
      </c>
      <c r="H16" s="1" t="s">
        <v>44</v>
      </c>
      <c r="I16" s="1" t="s">
        <v>42</v>
      </c>
      <c r="K16" t="str">
        <f>Tabela3[[#This Row],[Métodos]]</f>
        <v>Pirâmide Decrescente</v>
      </c>
      <c r="L16" s="5">
        <v>90</v>
      </c>
      <c r="M16" s="5">
        <v>150</v>
      </c>
      <c r="N16" s="5">
        <v>45</v>
      </c>
      <c r="O16" s="5">
        <v>120</v>
      </c>
    </row>
    <row r="17" spans="1:15" x14ac:dyDescent="0.25">
      <c r="A17" t="s">
        <v>26</v>
      </c>
      <c r="E17" s="2" t="str">
        <f>Tabela3[[#This Row],[Métodos]]</f>
        <v>Treino em Circuito</v>
      </c>
      <c r="F17" s="2" t="s">
        <v>43</v>
      </c>
      <c r="G17" s="2" t="s">
        <v>43</v>
      </c>
      <c r="H17" s="2" t="s">
        <v>44</v>
      </c>
      <c r="I17" s="2" t="s">
        <v>47</v>
      </c>
      <c r="K17" t="str">
        <f>Tabela3[[#This Row],[Métodos]]</f>
        <v>Treino em Circuito</v>
      </c>
      <c r="L17" s="5">
        <v>0</v>
      </c>
      <c r="M17" s="5">
        <v>0</v>
      </c>
      <c r="N17" s="5">
        <v>0</v>
      </c>
      <c r="O17" s="5">
        <v>0</v>
      </c>
    </row>
    <row r="18" spans="1:15" x14ac:dyDescent="0.25">
      <c r="A18" t="s">
        <v>27</v>
      </c>
      <c r="E18" s="1" t="str">
        <f>Tabela3[[#This Row],[Métodos]]</f>
        <v>Pré-Exaustão</v>
      </c>
      <c r="F18" s="1" t="s">
        <v>42</v>
      </c>
      <c r="G18" s="1" t="s">
        <v>43</v>
      </c>
      <c r="H18" s="1" t="s">
        <v>44</v>
      </c>
      <c r="I18" s="1" t="s">
        <v>42</v>
      </c>
      <c r="K18" t="str">
        <f>Tabela3[[#This Row],[Métodos]]</f>
        <v>Pré-Exaustão</v>
      </c>
      <c r="L18" s="5">
        <v>90</v>
      </c>
      <c r="M18" s="5" t="s">
        <v>62</v>
      </c>
      <c r="N18" s="5">
        <v>45</v>
      </c>
      <c r="O18" s="5">
        <v>120</v>
      </c>
    </row>
    <row r="19" spans="1:15" x14ac:dyDescent="0.25">
      <c r="A19" t="s">
        <v>28</v>
      </c>
      <c r="E19" s="2" t="str">
        <f>Tabela3[[#This Row],[Métodos]]</f>
        <v>Pós-Exaustão</v>
      </c>
      <c r="F19" s="2" t="s">
        <v>42</v>
      </c>
      <c r="G19" s="2" t="s">
        <v>43</v>
      </c>
      <c r="H19" s="2" t="s">
        <v>44</v>
      </c>
      <c r="I19" s="2" t="s">
        <v>42</v>
      </c>
      <c r="K19" t="str">
        <f>Tabela3[[#This Row],[Métodos]]</f>
        <v>Pós-Exaustão</v>
      </c>
      <c r="L19" s="5">
        <v>90</v>
      </c>
      <c r="M19" s="5" t="s">
        <v>62</v>
      </c>
      <c r="N19" s="5">
        <v>45</v>
      </c>
      <c r="O19" s="5">
        <v>120</v>
      </c>
    </row>
    <row r="20" spans="1:15" x14ac:dyDescent="0.25">
      <c r="A20" t="s">
        <v>29</v>
      </c>
      <c r="E20" s="1" t="str">
        <f>Tabela3[[#This Row],[Métodos]]</f>
        <v>Séries Negativas</v>
      </c>
      <c r="F20" s="1" t="s">
        <v>53</v>
      </c>
      <c r="G20" s="1" t="s">
        <v>54</v>
      </c>
      <c r="H20" s="1" t="s">
        <v>55</v>
      </c>
      <c r="I20" s="1" t="s">
        <v>54</v>
      </c>
      <c r="K20" t="str">
        <f>Tabela3[[#This Row],[Métodos]]</f>
        <v>Séries Negativas</v>
      </c>
      <c r="L20" s="5">
        <v>120</v>
      </c>
      <c r="M20" s="5">
        <v>180</v>
      </c>
      <c r="N20" s="5">
        <v>60</v>
      </c>
      <c r="O20" s="5">
        <v>180</v>
      </c>
    </row>
    <row r="21" spans="1:15" x14ac:dyDescent="0.25">
      <c r="A21" t="s">
        <v>30</v>
      </c>
      <c r="E21" s="2" t="str">
        <f>Tabela3[[#This Row],[Métodos]]</f>
        <v>Repetições Forçadas</v>
      </c>
      <c r="F21" s="2" t="s">
        <v>42</v>
      </c>
      <c r="G21" s="2" t="s">
        <v>43</v>
      </c>
      <c r="H21" s="2" t="s">
        <v>44</v>
      </c>
      <c r="I21" s="2" t="s">
        <v>42</v>
      </c>
      <c r="K21" t="str">
        <f>Tabela3[[#This Row],[Métodos]]</f>
        <v>Repetições Forçadas</v>
      </c>
      <c r="L21" s="5">
        <v>120</v>
      </c>
      <c r="M21" s="5">
        <v>180</v>
      </c>
      <c r="N21" s="5">
        <v>60</v>
      </c>
      <c r="O21" s="5">
        <v>150</v>
      </c>
    </row>
    <row r="22" spans="1:15" x14ac:dyDescent="0.25">
      <c r="A22" t="s">
        <v>31</v>
      </c>
      <c r="E22" s="1" t="str">
        <f>Tabela3[[#This Row],[Métodos]]</f>
        <v>Repetições Roubadas</v>
      </c>
      <c r="F22" s="1" t="s">
        <v>43</v>
      </c>
      <c r="G22" s="1" t="s">
        <v>43</v>
      </c>
      <c r="H22" s="1" t="s">
        <v>44</v>
      </c>
      <c r="I22" s="1" t="s">
        <v>43</v>
      </c>
      <c r="K22" t="str">
        <f>Tabela3[[#This Row],[Métodos]]</f>
        <v>Repetições Roubadas</v>
      </c>
      <c r="L22" s="5">
        <v>90</v>
      </c>
      <c r="M22" s="5">
        <v>120</v>
      </c>
      <c r="N22" s="5">
        <v>45</v>
      </c>
      <c r="O22" s="5">
        <v>120</v>
      </c>
    </row>
    <row r="23" spans="1:15" x14ac:dyDescent="0.25">
      <c r="A23" t="s">
        <v>32</v>
      </c>
      <c r="E23" s="2" t="str">
        <f>Tabela3[[#This Row],[Métodos]]</f>
        <v>Myo-reps</v>
      </c>
      <c r="F23" s="2" t="s">
        <v>46</v>
      </c>
      <c r="G23" s="2" t="s">
        <v>43</v>
      </c>
      <c r="H23" s="2" t="s">
        <v>44</v>
      </c>
      <c r="I23" s="2" t="s">
        <v>42</v>
      </c>
      <c r="K23" t="str">
        <f>Tabela3[[#This Row],[Métodos]]</f>
        <v>Myo-reps</v>
      </c>
      <c r="L23" s="5">
        <v>15</v>
      </c>
      <c r="M23" s="5">
        <v>15</v>
      </c>
      <c r="N23" s="5">
        <v>15</v>
      </c>
      <c r="O23" s="5">
        <v>20</v>
      </c>
    </row>
    <row r="24" spans="1:15" x14ac:dyDescent="0.25">
      <c r="A24" t="s">
        <v>33</v>
      </c>
      <c r="E24" s="1" t="str">
        <f>Tabela3[[#This Row],[Métodos]]</f>
        <v>Slow Training</v>
      </c>
      <c r="F24" s="1" t="s">
        <v>56</v>
      </c>
      <c r="G24" s="1" t="s">
        <v>57</v>
      </c>
      <c r="H24" s="1" t="s">
        <v>58</v>
      </c>
      <c r="I24" s="1" t="s">
        <v>59</v>
      </c>
      <c r="K24" t="str">
        <f>Tabela3[[#This Row],[Métodos]]</f>
        <v>Slow Training</v>
      </c>
      <c r="L24" s="5">
        <v>90</v>
      </c>
      <c r="M24" s="5">
        <v>120</v>
      </c>
      <c r="N24" s="5">
        <v>45</v>
      </c>
      <c r="O24" s="5">
        <v>120</v>
      </c>
    </row>
    <row r="25" spans="1:15" x14ac:dyDescent="0.25">
      <c r="A25" t="s">
        <v>34</v>
      </c>
      <c r="E25" s="2" t="str">
        <f>Tabela3[[#This Row],[Métodos]]</f>
        <v>Escada (Ladder)</v>
      </c>
      <c r="F25" s="2" t="s">
        <v>42</v>
      </c>
      <c r="G25" s="2" t="s">
        <v>43</v>
      </c>
      <c r="H25" s="2" t="s">
        <v>44</v>
      </c>
      <c r="I25" s="2" t="s">
        <v>42</v>
      </c>
      <c r="K25" t="str">
        <f>Tabela3[[#This Row],[Métodos]]</f>
        <v>Escada (Ladder)</v>
      </c>
      <c r="L25" s="5">
        <v>30</v>
      </c>
      <c r="M25" s="5">
        <v>60</v>
      </c>
      <c r="N25" s="5">
        <v>30</v>
      </c>
      <c r="O25" s="5">
        <v>60</v>
      </c>
    </row>
    <row r="26" spans="1:15" x14ac:dyDescent="0.25">
      <c r="A26" t="s">
        <v>60</v>
      </c>
      <c r="E26" s="1" t="str">
        <f>Tabela3[[#This Row],[Métodos]]</f>
        <v>EMOM (Every Minute on the Minute)</v>
      </c>
      <c r="F26" s="1" t="s">
        <v>43</v>
      </c>
      <c r="G26" s="1" t="s">
        <v>43</v>
      </c>
      <c r="H26" s="1" t="s">
        <v>44</v>
      </c>
      <c r="I26" s="1" t="s">
        <v>47</v>
      </c>
      <c r="K26" t="str">
        <f>Tabela3[[#This Row],[Métodos]]</f>
        <v>EMOM (Every Minute on the Minute)</v>
      </c>
      <c r="L26" s="5">
        <v>0</v>
      </c>
      <c r="M26" s="5">
        <v>0</v>
      </c>
      <c r="N26" s="5">
        <v>0</v>
      </c>
      <c r="O26" s="5">
        <v>0</v>
      </c>
    </row>
    <row r="27" spans="1:15" x14ac:dyDescent="0.25">
      <c r="A27" t="s">
        <v>61</v>
      </c>
      <c r="E27" s="2" t="str">
        <f>Tabela3[[#This Row],[Métodos]]</f>
        <v>AMRAP (As Many Reps (ou Rounds) As Possible)</v>
      </c>
      <c r="F27" s="2" t="s">
        <v>43</v>
      </c>
      <c r="G27" s="2" t="s">
        <v>43</v>
      </c>
      <c r="H27" s="2" t="s">
        <v>44</v>
      </c>
      <c r="I27" s="2" t="s">
        <v>47</v>
      </c>
      <c r="K27" t="str">
        <f>Tabela3[[#This Row],[Métodos]]</f>
        <v>AMRAP (As Many Reps (ou Rounds) As Possible)</v>
      </c>
      <c r="L27" s="5">
        <v>0</v>
      </c>
      <c r="M27" s="5">
        <v>0</v>
      </c>
      <c r="N27" s="5">
        <v>0</v>
      </c>
      <c r="O27" s="5">
        <v>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B79DFB-4F68-4FFB-B4EF-38303491DB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Planilha</vt:lpstr>
      <vt:lpstr>Dados</vt:lpstr>
      <vt:lpstr>ListaMetodos</vt:lpstr>
      <vt:lpstr>ListaObjetivos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2015-06-05T18:17:20Z</dcterms:created>
  <dcterms:modified xsi:type="dcterms:W3CDTF">2026-07-07T16:45:04Z</dcterms:modified>
</cp:coreProperties>
</file>